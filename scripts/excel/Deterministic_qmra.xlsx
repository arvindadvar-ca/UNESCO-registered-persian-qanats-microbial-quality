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GitHub\"/>
    </mc:Choice>
  </mc:AlternateContent>
  <xr:revisionPtr revIDLastSave="0" documentId="13_ncr:1_{8EDD3B09-07C6-422D-9BA0-FAA33B2D0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6" i="1"/>
  <c r="O17" i="1"/>
  <c r="O18" i="1"/>
  <c r="O19" i="1"/>
  <c r="O20" i="1"/>
  <c r="O21" i="1"/>
  <c r="O22" i="1"/>
  <c r="O23" i="1"/>
  <c r="O24" i="1"/>
  <c r="O25" i="1"/>
  <c r="O3" i="1"/>
  <c r="O2" i="1"/>
  <c r="M3" i="1"/>
  <c r="M4" i="1"/>
  <c r="M5" i="1"/>
  <c r="M6" i="1"/>
  <c r="M7" i="1"/>
  <c r="M8" i="1"/>
  <c r="M9" i="1"/>
  <c r="M10" i="1"/>
  <c r="M11" i="1"/>
  <c r="M12" i="1"/>
  <c r="M13" i="1"/>
  <c r="M16" i="1"/>
  <c r="M17" i="1"/>
  <c r="M18" i="1"/>
  <c r="M19" i="1"/>
  <c r="M20" i="1"/>
  <c r="M21" i="1"/>
  <c r="M22" i="1"/>
  <c r="M23" i="1"/>
  <c r="M24" i="1"/>
  <c r="M25" i="1"/>
  <c r="M2" i="1"/>
  <c r="K16" i="1"/>
  <c r="K17" i="1"/>
  <c r="K18" i="1"/>
  <c r="K19" i="1"/>
  <c r="K20" i="1"/>
  <c r="K21" i="1"/>
  <c r="K22" i="1"/>
  <c r="K23" i="1"/>
  <c r="K24" i="1"/>
  <c r="K25" i="1"/>
  <c r="I16" i="1"/>
  <c r="I17" i="1"/>
  <c r="I18" i="1"/>
  <c r="I19" i="1"/>
  <c r="I20" i="1"/>
  <c r="I21" i="1"/>
  <c r="I22" i="1"/>
  <c r="I23" i="1"/>
  <c r="I24" i="1"/>
  <c r="I25" i="1"/>
  <c r="K3" i="1"/>
  <c r="K4" i="1"/>
  <c r="K5" i="1"/>
  <c r="K6" i="1"/>
  <c r="K7" i="1"/>
  <c r="K8" i="1"/>
  <c r="K9" i="1"/>
  <c r="K10" i="1"/>
  <c r="K11" i="1"/>
  <c r="K12" i="1"/>
  <c r="K13" i="1"/>
  <c r="I3" i="1"/>
  <c r="I4" i="1"/>
  <c r="I5" i="1"/>
  <c r="I6" i="1"/>
  <c r="I7" i="1"/>
  <c r="I8" i="1"/>
  <c r="I9" i="1"/>
  <c r="I10" i="1"/>
  <c r="I11" i="1"/>
  <c r="I12" i="1"/>
  <c r="I13" i="1"/>
  <c r="K2" i="1"/>
  <c r="I2" i="1"/>
  <c r="G18" i="1"/>
  <c r="G19" i="1"/>
  <c r="G20" i="1"/>
  <c r="G21" i="1"/>
  <c r="G22" i="1"/>
  <c r="G23" i="1"/>
  <c r="G24" i="1"/>
  <c r="G25" i="1"/>
  <c r="G17" i="1"/>
  <c r="G16" i="1"/>
  <c r="G4" i="1"/>
  <c r="G5" i="1"/>
  <c r="G6" i="1"/>
  <c r="G7" i="1"/>
  <c r="G8" i="1"/>
  <c r="G9" i="1"/>
  <c r="G10" i="1"/>
  <c r="G11" i="1"/>
  <c r="G12" i="1"/>
  <c r="G13" i="1"/>
  <c r="G3" i="1"/>
  <c r="G2" i="1"/>
</calcChain>
</file>

<file path=xl/sharedStrings.xml><?xml version="1.0" encoding="utf-8"?>
<sst xmlns="http://schemas.openxmlformats.org/spreadsheetml/2006/main" count="53" uniqueCount="30">
  <si>
    <t>Season</t>
  </si>
  <si>
    <t>wet</t>
  </si>
  <si>
    <t>dry</t>
  </si>
  <si>
    <t>Ebrahim Abad</t>
  </si>
  <si>
    <t>Mazd Abad</t>
  </si>
  <si>
    <t>Vazvan</t>
  </si>
  <si>
    <t>Moon (upper)</t>
  </si>
  <si>
    <t>Moon (lower)</t>
  </si>
  <si>
    <t>Qanats Names</t>
  </si>
  <si>
    <t>Qanat ID</t>
  </si>
  <si>
    <t>Hasan Abad</t>
  </si>
  <si>
    <t>Zarch</t>
  </si>
  <si>
    <t>Qasabeh</t>
  </si>
  <si>
    <t>Baladeh</t>
  </si>
  <si>
    <t>Gowhar-riz</t>
  </si>
  <si>
    <t>Qasem Abad</t>
  </si>
  <si>
    <t>Akbar Abad</t>
  </si>
  <si>
    <t>*excluded due to dryness</t>
  </si>
  <si>
    <r>
      <t>E. coli</t>
    </r>
    <r>
      <rPr>
        <sz val="11"/>
        <color rgb="FF000000"/>
        <rFont val="Aptos Display"/>
        <family val="2"/>
      </rPr>
      <t xml:space="preserve"> (MPN/100 mL)</t>
    </r>
  </si>
  <si>
    <t>Water ingestion (L/d)</t>
  </si>
  <si>
    <t>Ingested dose (MPN/d)</t>
  </si>
  <si>
    <t>Unit conversion</t>
  </si>
  <si>
    <t>α</t>
  </si>
  <si>
    <r>
      <t>1/</t>
    </r>
    <r>
      <rPr>
        <sz val="12"/>
        <color theme="1"/>
        <rFont val="Aptos Narrow"/>
        <family val="2"/>
      </rPr>
      <t>α</t>
    </r>
  </si>
  <si>
    <r>
      <t>N</t>
    </r>
    <r>
      <rPr>
        <vertAlign val="superscript"/>
        <sz val="12"/>
        <color theme="1"/>
        <rFont val="Times New Roman"/>
        <family val="1"/>
      </rPr>
      <t>50</t>
    </r>
  </si>
  <si>
    <r>
      <rPr>
        <i/>
        <sz val="12"/>
        <color theme="1"/>
        <rFont val="Times New Roman"/>
        <family val="1"/>
      </rPr>
      <t>P</t>
    </r>
    <r>
      <rPr>
        <i/>
        <vertAlign val="subscript"/>
        <sz val="12"/>
        <color theme="1"/>
        <rFont val="Times New Roman"/>
        <family val="1"/>
      </rPr>
      <t>inf</t>
    </r>
    <r>
      <rPr>
        <i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/ day</t>
    </r>
  </si>
  <si>
    <t>daily exposure (survey based)</t>
  </si>
  <si>
    <r>
      <rPr>
        <i/>
        <sz val="12"/>
        <color theme="1"/>
        <rFont val="Times New Roman"/>
        <family val="1"/>
      </rPr>
      <t>P</t>
    </r>
    <r>
      <rPr>
        <i/>
        <vertAlign val="subscript"/>
        <sz val="12"/>
        <color theme="1"/>
        <rFont val="Times New Roman"/>
        <family val="1"/>
      </rPr>
      <t>inf,annual</t>
    </r>
  </si>
  <si>
    <r>
      <rPr>
        <i/>
        <sz val="12"/>
        <color theme="1"/>
        <rFont val="Times New Roman"/>
        <family val="1"/>
      </rPr>
      <t>P</t>
    </r>
    <r>
      <rPr>
        <i/>
        <vertAlign val="subscript"/>
        <sz val="12"/>
        <color theme="1"/>
        <rFont val="Times New Roman"/>
        <family val="1"/>
      </rPr>
      <t>ill/inf</t>
    </r>
  </si>
  <si>
    <r>
      <t>P</t>
    </r>
    <r>
      <rPr>
        <i/>
        <vertAlign val="subscript"/>
        <sz val="12"/>
        <color theme="1"/>
        <rFont val="Times New Roman"/>
        <family val="1"/>
      </rPr>
      <t>ill,annual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</si>
</sst>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ptos Display"/>
      <family val="2"/>
    </font>
    <font>
      <i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2"/>
      <color theme="1"/>
      <name val="Aptos Narrow"/>
      <family val="2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1" fontId="1" fillId="0" borderId="8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1" fontId="1" fillId="0" borderId="6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9" sqref="P19"/>
    </sheetView>
  </sheetViews>
  <sheetFormatPr defaultRowHeight="15.6" x14ac:dyDescent="0.3"/>
  <cols>
    <col min="1" max="1" width="8.88671875" style="1"/>
    <col min="2" max="2" width="13.88671875" style="1" bestFit="1" customWidth="1"/>
    <col min="3" max="3" width="8.88671875" style="1"/>
    <col min="4" max="4" width="22" style="1" bestFit="1" customWidth="1"/>
    <col min="5" max="5" width="17.88671875" style="1" bestFit="1" customWidth="1"/>
    <col min="6" max="6" width="13.6640625" style="1" bestFit="1" customWidth="1"/>
    <col min="7" max="7" width="21.77734375" style="1" bestFit="1" customWidth="1"/>
    <col min="8" max="8" width="8.88671875" style="1"/>
    <col min="9" max="9" width="9.33203125" style="1" bestFit="1" customWidth="1"/>
    <col min="10" max="10" width="9.6640625" style="1" bestFit="1" customWidth="1"/>
    <col min="11" max="11" width="9.77734375" style="1" bestFit="1" customWidth="1"/>
    <col min="12" max="12" width="27.88671875" style="1" bestFit="1" customWidth="1"/>
    <col min="13" max="13" width="10.77734375" style="1" bestFit="1" customWidth="1"/>
    <col min="14" max="16384" width="8.88671875" style="1"/>
  </cols>
  <sheetData>
    <row r="1" spans="1:15" ht="19.2" thickBot="1" x14ac:dyDescent="0.35">
      <c r="A1" s="2" t="s">
        <v>9</v>
      </c>
      <c r="B1" s="3" t="s">
        <v>8</v>
      </c>
      <c r="C1" s="3" t="s">
        <v>0</v>
      </c>
      <c r="D1" s="4" t="s">
        <v>18</v>
      </c>
      <c r="E1" s="51" t="s">
        <v>19</v>
      </c>
      <c r="F1" s="52" t="s">
        <v>21</v>
      </c>
      <c r="G1" s="24" t="s">
        <v>20</v>
      </c>
      <c r="H1" s="34" t="s">
        <v>22</v>
      </c>
      <c r="I1" s="35" t="s">
        <v>23</v>
      </c>
      <c r="J1" s="35" t="s">
        <v>24</v>
      </c>
      <c r="K1" s="36" t="s">
        <v>25</v>
      </c>
      <c r="L1" s="35" t="s">
        <v>26</v>
      </c>
      <c r="M1" s="50" t="s">
        <v>27</v>
      </c>
      <c r="N1" s="50" t="s">
        <v>28</v>
      </c>
      <c r="O1" s="37" t="s">
        <v>29</v>
      </c>
    </row>
    <row r="2" spans="1:15" x14ac:dyDescent="0.3">
      <c r="A2" s="18">
        <v>1</v>
      </c>
      <c r="B2" s="16" t="s">
        <v>3</v>
      </c>
      <c r="C2" s="5" t="s">
        <v>1</v>
      </c>
      <c r="D2" s="6">
        <v>11000</v>
      </c>
      <c r="E2" s="6">
        <v>2</v>
      </c>
      <c r="F2" s="15">
        <v>10</v>
      </c>
      <c r="G2" s="25">
        <f>D2*E2*F2</f>
        <v>220000</v>
      </c>
      <c r="H2" s="38">
        <v>0.155</v>
      </c>
      <c r="I2" s="39">
        <f>1/H2</f>
        <v>6.4516129032258069</v>
      </c>
      <c r="J2" s="40">
        <v>2110000</v>
      </c>
      <c r="K2" s="39">
        <f>1-(1+((G2/J2)*((2^I2)-1)))^(-H2)</f>
        <v>0.30039092122781719</v>
      </c>
      <c r="L2" s="38">
        <v>365</v>
      </c>
      <c r="M2" s="39">
        <f>1-(1-K2)^L2</f>
        <v>1</v>
      </c>
      <c r="N2" s="31">
        <v>0.25</v>
      </c>
      <c r="O2" s="31">
        <f>M2*N2</f>
        <v>0.25</v>
      </c>
    </row>
    <row r="3" spans="1:15" ht="16.2" thickBot="1" x14ac:dyDescent="0.35">
      <c r="A3" s="19"/>
      <c r="B3" s="17"/>
      <c r="C3" s="7" t="s">
        <v>2</v>
      </c>
      <c r="D3" s="8">
        <v>4300</v>
      </c>
      <c r="E3" s="8">
        <v>2</v>
      </c>
      <c r="F3" s="13">
        <v>10</v>
      </c>
      <c r="G3" s="26">
        <f>D3*E3*F3</f>
        <v>86000</v>
      </c>
      <c r="H3" s="35">
        <v>0.155</v>
      </c>
      <c r="I3" s="41">
        <f t="shared" ref="I3:I25" si="0">1/H3</f>
        <v>6.4516129032258069</v>
      </c>
      <c r="J3" s="42">
        <v>2110000</v>
      </c>
      <c r="K3" s="41">
        <f t="shared" ref="K3:K25" si="1">1-(1+((G3/J3)*((2^I3)-1)))^(-H3)</f>
        <v>0.20867382203380203</v>
      </c>
      <c r="L3" s="35">
        <v>365</v>
      </c>
      <c r="M3" s="41">
        <f t="shared" ref="M3:M25" si="2">1-(1-K3)^L3</f>
        <v>1</v>
      </c>
      <c r="N3" s="35">
        <v>0.25</v>
      </c>
      <c r="O3" s="35">
        <f>M3*N3</f>
        <v>0.25</v>
      </c>
    </row>
    <row r="4" spans="1:15" x14ac:dyDescent="0.3">
      <c r="A4" s="18">
        <v>2</v>
      </c>
      <c r="B4" s="16" t="s">
        <v>4</v>
      </c>
      <c r="C4" s="5" t="s">
        <v>1</v>
      </c>
      <c r="D4" s="6">
        <v>460</v>
      </c>
      <c r="E4" s="6">
        <v>2</v>
      </c>
      <c r="F4" s="15">
        <v>10</v>
      </c>
      <c r="G4" s="25">
        <f t="shared" ref="G4:G13" si="3">D4*E4*F4</f>
        <v>9200</v>
      </c>
      <c r="H4" s="38">
        <v>0.155</v>
      </c>
      <c r="I4" s="39">
        <f t="shared" si="0"/>
        <v>6.4516129032258069</v>
      </c>
      <c r="J4" s="40">
        <v>2110000</v>
      </c>
      <c r="K4" s="39">
        <f t="shared" si="1"/>
        <v>4.8404455614970976E-2</v>
      </c>
      <c r="L4" s="38">
        <v>180</v>
      </c>
      <c r="M4" s="39">
        <f t="shared" si="2"/>
        <v>0.99986773894564329</v>
      </c>
      <c r="N4" s="31">
        <v>0.25</v>
      </c>
      <c r="O4" s="31">
        <f t="shared" ref="O4:O25" si="4">M4*N4</f>
        <v>0.24996693473641082</v>
      </c>
    </row>
    <row r="5" spans="1:15" ht="16.2" thickBot="1" x14ac:dyDescent="0.35">
      <c r="A5" s="19"/>
      <c r="B5" s="17"/>
      <c r="C5" s="7" t="s">
        <v>2</v>
      </c>
      <c r="D5" s="8">
        <v>42</v>
      </c>
      <c r="E5" s="8">
        <v>2</v>
      </c>
      <c r="F5" s="13">
        <v>10</v>
      </c>
      <c r="G5" s="26">
        <f t="shared" si="3"/>
        <v>840</v>
      </c>
      <c r="H5" s="35">
        <v>0.155</v>
      </c>
      <c r="I5" s="41">
        <f t="shared" si="0"/>
        <v>6.4516129032258069</v>
      </c>
      <c r="J5" s="42">
        <v>2110000</v>
      </c>
      <c r="K5" s="41">
        <f t="shared" si="1"/>
        <v>5.2354381060367716E-3</v>
      </c>
      <c r="L5" s="35">
        <v>180</v>
      </c>
      <c r="M5" s="41">
        <f t="shared" si="2"/>
        <v>0.61126382789698441</v>
      </c>
      <c r="N5" s="35">
        <v>0.25</v>
      </c>
      <c r="O5" s="35">
        <f t="shared" si="4"/>
        <v>0.1528159569742461</v>
      </c>
    </row>
    <row r="6" spans="1:15" x14ac:dyDescent="0.3">
      <c r="A6" s="18">
        <v>3</v>
      </c>
      <c r="B6" s="16" t="s">
        <v>5</v>
      </c>
      <c r="C6" s="5" t="s">
        <v>1</v>
      </c>
      <c r="D6" s="6">
        <v>3</v>
      </c>
      <c r="E6" s="6">
        <v>2</v>
      </c>
      <c r="F6" s="15">
        <v>10</v>
      </c>
      <c r="G6" s="25">
        <f t="shared" si="3"/>
        <v>60</v>
      </c>
      <c r="H6" s="38">
        <v>0.155</v>
      </c>
      <c r="I6" s="39">
        <f t="shared" si="0"/>
        <v>6.4516129032258069</v>
      </c>
      <c r="J6" s="40">
        <v>2110000</v>
      </c>
      <c r="K6" s="39">
        <f t="shared" si="1"/>
        <v>3.8082242863846094E-4</v>
      </c>
      <c r="L6" s="38">
        <v>60</v>
      </c>
      <c r="M6" s="39">
        <f t="shared" si="2"/>
        <v>2.2594529915536121E-2</v>
      </c>
      <c r="N6" s="31">
        <v>0.25</v>
      </c>
      <c r="O6" s="31">
        <f t="shared" si="4"/>
        <v>5.6486324788840303E-3</v>
      </c>
    </row>
    <row r="7" spans="1:15" ht="16.2" thickBot="1" x14ac:dyDescent="0.35">
      <c r="A7" s="19"/>
      <c r="B7" s="17"/>
      <c r="C7" s="7" t="s">
        <v>2</v>
      </c>
      <c r="D7" s="8">
        <v>74</v>
      </c>
      <c r="E7" s="8">
        <v>2</v>
      </c>
      <c r="F7" s="13">
        <v>10</v>
      </c>
      <c r="G7" s="26">
        <f t="shared" si="3"/>
        <v>1480</v>
      </c>
      <c r="H7" s="35">
        <v>0.155</v>
      </c>
      <c r="I7" s="41">
        <f t="shared" si="0"/>
        <v>6.4516129032258069</v>
      </c>
      <c r="J7" s="42">
        <v>2110000</v>
      </c>
      <c r="K7" s="41">
        <f t="shared" si="1"/>
        <v>9.0909808624360933E-3</v>
      </c>
      <c r="L7" s="35">
        <v>60</v>
      </c>
      <c r="M7" s="41">
        <f t="shared" si="2"/>
        <v>0.42186817165589297</v>
      </c>
      <c r="N7" s="35">
        <v>0.25</v>
      </c>
      <c r="O7" s="35">
        <f t="shared" si="4"/>
        <v>0.10546704291397324</v>
      </c>
    </row>
    <row r="8" spans="1:15" x14ac:dyDescent="0.3">
      <c r="A8" s="18">
        <v>4</v>
      </c>
      <c r="B8" s="16" t="s">
        <v>6</v>
      </c>
      <c r="C8" s="5" t="s">
        <v>1</v>
      </c>
      <c r="D8" s="14">
        <v>75</v>
      </c>
      <c r="E8" s="12">
        <v>2</v>
      </c>
      <c r="F8" s="12">
        <v>10</v>
      </c>
      <c r="G8" s="49">
        <f t="shared" si="3"/>
        <v>1500</v>
      </c>
      <c r="H8" s="31">
        <v>0.155</v>
      </c>
      <c r="I8" s="32">
        <f t="shared" si="0"/>
        <v>6.4516129032258069</v>
      </c>
      <c r="J8" s="33">
        <v>2110000</v>
      </c>
      <c r="K8" s="32">
        <f t="shared" si="1"/>
        <v>9.2096858887122934E-3</v>
      </c>
      <c r="L8" s="31">
        <v>60</v>
      </c>
      <c r="M8" s="32">
        <f t="shared" si="2"/>
        <v>0.42600892666336676</v>
      </c>
      <c r="N8" s="31">
        <v>0.25</v>
      </c>
      <c r="O8" s="31">
        <f t="shared" si="4"/>
        <v>0.10650223166584169</v>
      </c>
    </row>
    <row r="9" spans="1:15" x14ac:dyDescent="0.3">
      <c r="A9" s="20"/>
      <c r="B9" s="21"/>
      <c r="C9" s="9" t="s">
        <v>2</v>
      </c>
      <c r="D9" s="47">
        <v>9.1999999999999993</v>
      </c>
      <c r="E9" s="10">
        <v>2</v>
      </c>
      <c r="F9" s="10">
        <v>10</v>
      </c>
      <c r="G9" s="48">
        <f t="shared" si="3"/>
        <v>184</v>
      </c>
      <c r="H9" s="27">
        <v>0.155</v>
      </c>
      <c r="I9" s="28">
        <f t="shared" si="0"/>
        <v>6.4516129032258069</v>
      </c>
      <c r="J9" s="29">
        <v>2110000</v>
      </c>
      <c r="K9" s="28">
        <f t="shared" si="1"/>
        <v>1.1644456976516171E-3</v>
      </c>
      <c r="L9" s="27">
        <v>60</v>
      </c>
      <c r="M9" s="28">
        <f t="shared" si="2"/>
        <v>6.7519884431271882E-2</v>
      </c>
      <c r="N9" s="27">
        <v>0.25</v>
      </c>
      <c r="O9" s="27">
        <f t="shared" si="4"/>
        <v>1.687997110781797E-2</v>
      </c>
    </row>
    <row r="10" spans="1:15" x14ac:dyDescent="0.3">
      <c r="A10" s="20"/>
      <c r="B10" s="21" t="s">
        <v>7</v>
      </c>
      <c r="C10" s="9" t="s">
        <v>1</v>
      </c>
      <c r="D10" s="10">
        <v>9.1999999999999993</v>
      </c>
      <c r="E10" s="12">
        <v>2</v>
      </c>
      <c r="F10" s="15">
        <v>10</v>
      </c>
      <c r="G10" s="25">
        <f t="shared" si="3"/>
        <v>184</v>
      </c>
      <c r="H10" s="31">
        <v>0.155</v>
      </c>
      <c r="I10" s="32">
        <f t="shared" si="0"/>
        <v>6.4516129032258069</v>
      </c>
      <c r="J10" s="33">
        <v>2110000</v>
      </c>
      <c r="K10" s="32">
        <f t="shared" si="1"/>
        <v>1.1644456976516171E-3</v>
      </c>
      <c r="L10" s="31">
        <v>60</v>
      </c>
      <c r="M10" s="32">
        <f t="shared" si="2"/>
        <v>6.7519884431271882E-2</v>
      </c>
      <c r="N10" s="27">
        <v>0.25</v>
      </c>
      <c r="O10" s="27">
        <f t="shared" si="4"/>
        <v>1.687997110781797E-2</v>
      </c>
    </row>
    <row r="11" spans="1:15" ht="16.2" thickBot="1" x14ac:dyDescent="0.35">
      <c r="A11" s="19"/>
      <c r="B11" s="17"/>
      <c r="C11" s="7" t="s">
        <v>2</v>
      </c>
      <c r="D11" s="8">
        <v>3.6</v>
      </c>
      <c r="E11" s="8">
        <v>2</v>
      </c>
      <c r="F11" s="13">
        <v>10</v>
      </c>
      <c r="G11" s="26">
        <f t="shared" si="3"/>
        <v>72</v>
      </c>
      <c r="H11" s="35">
        <v>0.155</v>
      </c>
      <c r="I11" s="41">
        <f t="shared" si="0"/>
        <v>6.4516129032258069</v>
      </c>
      <c r="J11" s="42">
        <v>2110000</v>
      </c>
      <c r="K11" s="41">
        <f t="shared" si="1"/>
        <v>4.5685736869205407E-4</v>
      </c>
      <c r="L11" s="35">
        <v>60</v>
      </c>
      <c r="M11" s="41">
        <f t="shared" si="2"/>
        <v>2.704525200307506E-2</v>
      </c>
      <c r="N11" s="35">
        <v>0.25</v>
      </c>
      <c r="O11" s="35">
        <f t="shared" si="4"/>
        <v>6.761313000768765E-3</v>
      </c>
    </row>
    <row r="12" spans="1:15" x14ac:dyDescent="0.3">
      <c r="A12" s="18">
        <v>5</v>
      </c>
      <c r="B12" s="16" t="s">
        <v>10</v>
      </c>
      <c r="C12" s="5" t="s">
        <v>1</v>
      </c>
      <c r="D12" s="6">
        <v>0</v>
      </c>
      <c r="E12" s="6">
        <v>2</v>
      </c>
      <c r="F12" s="14">
        <v>10</v>
      </c>
      <c r="G12" s="45">
        <f t="shared" si="3"/>
        <v>0</v>
      </c>
      <c r="H12" s="38">
        <v>0.155</v>
      </c>
      <c r="I12" s="39">
        <f t="shared" si="0"/>
        <v>6.4516129032258069</v>
      </c>
      <c r="J12" s="40">
        <v>2110000</v>
      </c>
      <c r="K12" s="39">
        <f t="shared" si="1"/>
        <v>0</v>
      </c>
      <c r="L12" s="38">
        <v>180</v>
      </c>
      <c r="M12" s="39">
        <f t="shared" si="2"/>
        <v>0</v>
      </c>
      <c r="N12" s="31">
        <v>0.25</v>
      </c>
      <c r="O12" s="31">
        <f t="shared" si="4"/>
        <v>0</v>
      </c>
    </row>
    <row r="13" spans="1:15" ht="16.2" thickBot="1" x14ac:dyDescent="0.35">
      <c r="A13" s="19"/>
      <c r="B13" s="17"/>
      <c r="C13" s="7" t="s">
        <v>2</v>
      </c>
      <c r="D13" s="8">
        <v>94</v>
      </c>
      <c r="E13" s="8">
        <v>2</v>
      </c>
      <c r="F13" s="13">
        <v>10</v>
      </c>
      <c r="G13" s="46">
        <f t="shared" si="3"/>
        <v>1880</v>
      </c>
      <c r="H13" s="35">
        <v>0.155</v>
      </c>
      <c r="I13" s="41">
        <f t="shared" si="0"/>
        <v>6.4516129032258069</v>
      </c>
      <c r="J13" s="42">
        <v>2110000</v>
      </c>
      <c r="K13" s="41">
        <f t="shared" si="1"/>
        <v>1.1445162615086213E-2</v>
      </c>
      <c r="L13" s="35">
        <v>180</v>
      </c>
      <c r="M13" s="41">
        <f t="shared" si="2"/>
        <v>0.87406750386679699</v>
      </c>
      <c r="N13" s="35">
        <v>0.25</v>
      </c>
      <c r="O13" s="35">
        <f t="shared" si="4"/>
        <v>0.21851687596669925</v>
      </c>
    </row>
    <row r="14" spans="1:15" x14ac:dyDescent="0.3">
      <c r="A14" s="18">
        <v>6</v>
      </c>
      <c r="B14" s="16" t="s">
        <v>11</v>
      </c>
      <c r="C14" s="5" t="s">
        <v>1</v>
      </c>
      <c r="D14" s="43" t="s">
        <v>17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</row>
    <row r="15" spans="1:15" ht="16.2" thickBot="1" x14ac:dyDescent="0.35">
      <c r="A15" s="19"/>
      <c r="B15" s="17"/>
      <c r="C15" s="7" t="s">
        <v>2</v>
      </c>
      <c r="D15" s="44" t="s">
        <v>17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</row>
    <row r="16" spans="1:15" x14ac:dyDescent="0.3">
      <c r="A16" s="18">
        <v>7</v>
      </c>
      <c r="B16" s="16" t="s">
        <v>12</v>
      </c>
      <c r="C16" s="5" t="s">
        <v>1</v>
      </c>
      <c r="D16" s="12">
        <v>43</v>
      </c>
      <c r="E16" s="12">
        <v>2</v>
      </c>
      <c r="F16" s="15">
        <v>10</v>
      </c>
      <c r="G16" s="25">
        <f>D16*E16*F16</f>
        <v>860</v>
      </c>
      <c r="H16" s="31">
        <v>0.155</v>
      </c>
      <c r="I16" s="32">
        <f t="shared" si="0"/>
        <v>6.4516129032258069</v>
      </c>
      <c r="J16" s="33">
        <v>2110000</v>
      </c>
      <c r="K16" s="32">
        <f t="shared" si="1"/>
        <v>5.3576269386591546E-3</v>
      </c>
      <c r="L16" s="31">
        <v>180</v>
      </c>
      <c r="M16" s="32">
        <f t="shared" si="2"/>
        <v>0.61976488288481635</v>
      </c>
      <c r="N16" s="31">
        <v>0.25</v>
      </c>
      <c r="O16" s="31">
        <f t="shared" si="4"/>
        <v>0.15494122072120409</v>
      </c>
    </row>
    <row r="17" spans="1:15" ht="16.2" thickBot="1" x14ac:dyDescent="0.35">
      <c r="A17" s="19"/>
      <c r="B17" s="17"/>
      <c r="C17" s="7" t="s">
        <v>2</v>
      </c>
      <c r="D17" s="8">
        <v>3</v>
      </c>
      <c r="E17" s="8">
        <v>2</v>
      </c>
      <c r="F17" s="13">
        <v>10</v>
      </c>
      <c r="G17" s="26">
        <f>D17*E17*F17</f>
        <v>60</v>
      </c>
      <c r="H17" s="35">
        <v>0.155</v>
      </c>
      <c r="I17" s="41">
        <f t="shared" si="0"/>
        <v>6.4516129032258069</v>
      </c>
      <c r="J17" s="42">
        <v>2110000</v>
      </c>
      <c r="K17" s="41">
        <f t="shared" si="1"/>
        <v>3.8082242863846094E-4</v>
      </c>
      <c r="L17" s="35">
        <v>180</v>
      </c>
      <c r="M17" s="41">
        <f t="shared" si="2"/>
        <v>6.6263586196623647E-2</v>
      </c>
      <c r="N17" s="35">
        <v>0.25</v>
      </c>
      <c r="O17" s="35">
        <f t="shared" si="4"/>
        <v>1.6565896549155912E-2</v>
      </c>
    </row>
    <row r="18" spans="1:15" x14ac:dyDescent="0.3">
      <c r="A18" s="18">
        <v>8</v>
      </c>
      <c r="B18" s="16" t="s">
        <v>13</v>
      </c>
      <c r="C18" s="5" t="s">
        <v>1</v>
      </c>
      <c r="D18" s="6">
        <v>75</v>
      </c>
      <c r="E18" s="6">
        <v>2</v>
      </c>
      <c r="F18" s="15">
        <v>10</v>
      </c>
      <c r="G18" s="30">
        <f t="shared" ref="G18:G25" si="5">D18*E18*F18</f>
        <v>1500</v>
      </c>
      <c r="H18" s="38">
        <v>0.155</v>
      </c>
      <c r="I18" s="39">
        <f t="shared" si="0"/>
        <v>6.4516129032258069</v>
      </c>
      <c r="J18" s="40">
        <v>2110000</v>
      </c>
      <c r="K18" s="39">
        <f t="shared" si="1"/>
        <v>9.2096858887122934E-3</v>
      </c>
      <c r="L18" s="38">
        <v>60</v>
      </c>
      <c r="M18" s="39">
        <f t="shared" si="2"/>
        <v>0.42600892666336676</v>
      </c>
      <c r="N18" s="31">
        <v>0.25</v>
      </c>
      <c r="O18" s="31">
        <f t="shared" si="4"/>
        <v>0.10650223166584169</v>
      </c>
    </row>
    <row r="19" spans="1:15" ht="16.2" thickBot="1" x14ac:dyDescent="0.35">
      <c r="A19" s="19"/>
      <c r="B19" s="17"/>
      <c r="C19" s="7" t="s">
        <v>2</v>
      </c>
      <c r="D19" s="8">
        <v>36</v>
      </c>
      <c r="E19" s="8">
        <v>2</v>
      </c>
      <c r="F19" s="13">
        <v>10</v>
      </c>
      <c r="G19" s="26">
        <f t="shared" si="5"/>
        <v>720</v>
      </c>
      <c r="H19" s="35">
        <v>0.155</v>
      </c>
      <c r="I19" s="41">
        <f t="shared" si="0"/>
        <v>6.4516129032258069</v>
      </c>
      <c r="J19" s="42">
        <v>2110000</v>
      </c>
      <c r="K19" s="41">
        <f t="shared" si="1"/>
        <v>4.4999476217767453E-3</v>
      </c>
      <c r="L19" s="35">
        <v>60</v>
      </c>
      <c r="M19" s="41">
        <f t="shared" si="2"/>
        <v>0.23708310454395909</v>
      </c>
      <c r="N19" s="35">
        <v>0.25</v>
      </c>
      <c r="O19" s="35">
        <f t="shared" si="4"/>
        <v>5.9270776135989772E-2</v>
      </c>
    </row>
    <row r="20" spans="1:15" x14ac:dyDescent="0.3">
      <c r="A20" s="18">
        <v>9</v>
      </c>
      <c r="B20" s="16" t="s">
        <v>14</v>
      </c>
      <c r="C20" s="5" t="s">
        <v>1</v>
      </c>
      <c r="D20" s="6">
        <v>3759</v>
      </c>
      <c r="E20" s="6">
        <v>2</v>
      </c>
      <c r="F20" s="15">
        <v>10</v>
      </c>
      <c r="G20" s="30">
        <f t="shared" si="5"/>
        <v>75180</v>
      </c>
      <c r="H20" s="38">
        <v>0.155</v>
      </c>
      <c r="I20" s="39">
        <f t="shared" si="0"/>
        <v>6.4516129032258069</v>
      </c>
      <c r="J20" s="40">
        <v>2110000</v>
      </c>
      <c r="K20" s="39">
        <f t="shared" si="1"/>
        <v>0.19591867562435206</v>
      </c>
      <c r="L20" s="38">
        <v>180</v>
      </c>
      <c r="M20" s="39">
        <f t="shared" si="2"/>
        <v>1</v>
      </c>
      <c r="N20" s="31">
        <v>0.25</v>
      </c>
      <c r="O20" s="31">
        <f t="shared" si="4"/>
        <v>0.25</v>
      </c>
    </row>
    <row r="21" spans="1:15" ht="16.2" thickBot="1" x14ac:dyDescent="0.35">
      <c r="A21" s="19"/>
      <c r="B21" s="17"/>
      <c r="C21" s="7" t="s">
        <v>2</v>
      </c>
      <c r="D21" s="8">
        <v>150</v>
      </c>
      <c r="E21" s="8">
        <v>2</v>
      </c>
      <c r="F21" s="13">
        <v>10</v>
      </c>
      <c r="G21" s="26">
        <f t="shared" si="5"/>
        <v>3000</v>
      </c>
      <c r="H21" s="35">
        <v>0.155</v>
      </c>
      <c r="I21" s="41">
        <f t="shared" si="0"/>
        <v>6.4516129032258069</v>
      </c>
      <c r="J21" s="42">
        <v>2110000</v>
      </c>
      <c r="K21" s="41">
        <f t="shared" si="1"/>
        <v>1.7822653945708034E-2</v>
      </c>
      <c r="L21" s="35">
        <v>180</v>
      </c>
      <c r="M21" s="41">
        <f t="shared" si="2"/>
        <v>0.96071883843811756</v>
      </c>
      <c r="N21" s="35">
        <v>0.25</v>
      </c>
      <c r="O21" s="35">
        <f t="shared" si="4"/>
        <v>0.24017970960952939</v>
      </c>
    </row>
    <row r="22" spans="1:15" x14ac:dyDescent="0.3">
      <c r="A22" s="18">
        <v>10</v>
      </c>
      <c r="B22" s="16" t="s">
        <v>15</v>
      </c>
      <c r="C22" s="5" t="s">
        <v>1</v>
      </c>
      <c r="D22" s="6">
        <v>3759</v>
      </c>
      <c r="E22" s="6">
        <v>2</v>
      </c>
      <c r="F22" s="15">
        <v>10</v>
      </c>
      <c r="G22" s="30">
        <f t="shared" si="5"/>
        <v>75180</v>
      </c>
      <c r="H22" s="38">
        <v>0.155</v>
      </c>
      <c r="I22" s="39">
        <f t="shared" si="0"/>
        <v>6.4516129032258069</v>
      </c>
      <c r="J22" s="40">
        <v>2110000</v>
      </c>
      <c r="K22" s="39">
        <f t="shared" si="1"/>
        <v>0.19591867562435206</v>
      </c>
      <c r="L22" s="38">
        <v>180</v>
      </c>
      <c r="M22" s="39">
        <f t="shared" si="2"/>
        <v>1</v>
      </c>
      <c r="N22" s="31">
        <v>0.25</v>
      </c>
      <c r="O22" s="31">
        <f t="shared" si="4"/>
        <v>0.25</v>
      </c>
    </row>
    <row r="23" spans="1:15" ht="16.2" thickBot="1" x14ac:dyDescent="0.35">
      <c r="A23" s="19"/>
      <c r="B23" s="17"/>
      <c r="C23" s="7" t="s">
        <v>2</v>
      </c>
      <c r="D23" s="8">
        <v>9</v>
      </c>
      <c r="E23" s="8">
        <v>2</v>
      </c>
      <c r="F23" s="13">
        <v>10</v>
      </c>
      <c r="G23" s="26">
        <f t="shared" si="5"/>
        <v>180</v>
      </c>
      <c r="H23" s="35">
        <v>0.155</v>
      </c>
      <c r="I23" s="41">
        <f t="shared" si="0"/>
        <v>6.4516129032258069</v>
      </c>
      <c r="J23" s="42">
        <v>2110000</v>
      </c>
      <c r="K23" s="41">
        <f t="shared" si="1"/>
        <v>1.139238883677729E-3</v>
      </c>
      <c r="L23" s="35">
        <v>180</v>
      </c>
      <c r="M23" s="41">
        <f t="shared" si="2"/>
        <v>0.18549922197587432</v>
      </c>
      <c r="N23" s="35">
        <v>0.25</v>
      </c>
      <c r="O23" s="35">
        <f t="shared" si="4"/>
        <v>4.6374805493968579E-2</v>
      </c>
    </row>
    <row r="24" spans="1:15" x14ac:dyDescent="0.3">
      <c r="A24" s="23">
        <v>11</v>
      </c>
      <c r="B24" s="22" t="s">
        <v>16</v>
      </c>
      <c r="C24" s="11" t="s">
        <v>1</v>
      </c>
      <c r="D24" s="12">
        <v>3759</v>
      </c>
      <c r="E24" s="6">
        <v>2</v>
      </c>
      <c r="F24" s="15">
        <v>10</v>
      </c>
      <c r="G24" s="30">
        <f t="shared" si="5"/>
        <v>75180</v>
      </c>
      <c r="H24" s="38">
        <v>0.155</v>
      </c>
      <c r="I24" s="39">
        <f t="shared" si="0"/>
        <v>6.4516129032258069</v>
      </c>
      <c r="J24" s="40">
        <v>2110000</v>
      </c>
      <c r="K24" s="39">
        <f t="shared" si="1"/>
        <v>0.19591867562435206</v>
      </c>
      <c r="L24" s="38">
        <v>180</v>
      </c>
      <c r="M24" s="39">
        <f t="shared" si="2"/>
        <v>1</v>
      </c>
      <c r="N24" s="31">
        <v>0.25</v>
      </c>
      <c r="O24" s="31">
        <f t="shared" si="4"/>
        <v>0.25</v>
      </c>
    </row>
    <row r="25" spans="1:15" ht="16.2" thickBot="1" x14ac:dyDescent="0.35">
      <c r="A25" s="19"/>
      <c r="B25" s="17"/>
      <c r="C25" s="7" t="s">
        <v>2</v>
      </c>
      <c r="D25" s="8">
        <v>75</v>
      </c>
      <c r="E25" s="8">
        <v>2</v>
      </c>
      <c r="F25" s="13">
        <v>10</v>
      </c>
      <c r="G25" s="26">
        <f t="shared" si="5"/>
        <v>1500</v>
      </c>
      <c r="H25" s="35">
        <v>0.155</v>
      </c>
      <c r="I25" s="41">
        <f t="shared" si="0"/>
        <v>6.4516129032258069</v>
      </c>
      <c r="J25" s="42">
        <v>2110000</v>
      </c>
      <c r="K25" s="41">
        <f t="shared" si="1"/>
        <v>9.2096858887122934E-3</v>
      </c>
      <c r="L25" s="35">
        <v>180</v>
      </c>
      <c r="M25" s="41">
        <f t="shared" si="2"/>
        <v>0.81088959922680082</v>
      </c>
      <c r="N25" s="35">
        <v>0.25</v>
      </c>
      <c r="O25" s="35">
        <f t="shared" si="4"/>
        <v>0.2027223998067002</v>
      </c>
    </row>
  </sheetData>
  <mergeCells count="25">
    <mergeCell ref="D14:O14"/>
    <mergeCell ref="D15:O15"/>
    <mergeCell ref="B16:B17"/>
    <mergeCell ref="B18:B19"/>
    <mergeCell ref="B20:B21"/>
    <mergeCell ref="B24:B25"/>
    <mergeCell ref="A16:A17"/>
    <mergeCell ref="A18:A19"/>
    <mergeCell ref="A20:A21"/>
    <mergeCell ref="A22:A23"/>
    <mergeCell ref="A24:A25"/>
    <mergeCell ref="B22:B23"/>
    <mergeCell ref="B12:B13"/>
    <mergeCell ref="A2:A3"/>
    <mergeCell ref="A4:A5"/>
    <mergeCell ref="A6:A7"/>
    <mergeCell ref="A8:A11"/>
    <mergeCell ref="A12:A13"/>
    <mergeCell ref="B2:B3"/>
    <mergeCell ref="B4:B5"/>
    <mergeCell ref="B6:B7"/>
    <mergeCell ref="B8:B9"/>
    <mergeCell ref="B10:B11"/>
    <mergeCell ref="B14:B15"/>
    <mergeCell ref="A14:A15"/>
  </mergeCells>
  <pageMargins left="0.7" right="0.7" top="0.75" bottom="0.75" header="0.3" footer="0.3"/>
  <pageSetup orientation="portrait" horizontalDpi="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Arvin Dadvar</cp:lastModifiedBy>
  <dcterms:created xsi:type="dcterms:W3CDTF">2015-06-05T18:17:20Z</dcterms:created>
  <dcterms:modified xsi:type="dcterms:W3CDTF">2025-12-16T11:20:05Z</dcterms:modified>
</cp:coreProperties>
</file>